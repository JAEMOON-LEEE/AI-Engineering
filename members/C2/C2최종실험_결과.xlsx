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결과 요약" sheetId="1" state="visible" r:id="rId3"/>
    <sheet name="메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<sst xmlns="http://schemas.openxmlformats.org/spreadsheetml/2006/main" count="103" uniqueCount="69">
  <si>
    <r>
      <rPr>
        <b val="true"/>
        <sz val="14"/>
        <rFont val="Arial"/>
        <family val="0"/>
        <charset val="1"/>
      </rPr>
      <t xml:space="preserve">C2 </t>
    </r>
    <r>
      <rPr>
        <b val="true"/>
        <sz val="14"/>
        <rFont val="Noto Sans CJK SC"/>
        <family val="2"/>
      </rPr>
      <t xml:space="preserve">최종 실험 결과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정규화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불균형 대응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</si>
  <si>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시드 </t>
    </r>
    <r>
      <rPr>
        <i val="true"/>
        <sz val="10"/>
        <color rgb="FF595959"/>
        <rFont val="Arial"/>
        <family val="0"/>
        <charset val="1"/>
      </rPr>
      <t xml:space="preserve">42/43/44 </t>
    </r>
    <r>
      <rPr>
        <i val="true"/>
        <sz val="10"/>
        <color rgb="FF595959"/>
        <rFont val="Noto Sans CJK SC"/>
        <family val="2"/>
      </rPr>
      <t xml:space="preserve">평균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표준편차는 표본</t>
    </r>
    <r>
      <rPr>
        <i val="true"/>
        <sz val="10"/>
        <color rgb="FF595959"/>
        <rFont val="Arial"/>
        <family val="0"/>
        <charset val="1"/>
      </rPr>
      <t xml:space="preserve">(n-1). </t>
    </r>
    <r>
      <rPr>
        <i val="true"/>
        <sz val="10"/>
        <color rgb="FF595959"/>
        <rFont val="Noto Sans CJK SC"/>
        <family val="2"/>
      </rPr>
      <t xml:space="preserve">검증 세트 기준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임계값 </t>
    </r>
    <r>
      <rPr>
        <i val="true"/>
        <sz val="10"/>
        <color rgb="FF595959"/>
        <rFont val="Arial"/>
        <family val="0"/>
        <charset val="1"/>
      </rPr>
      <t xml:space="preserve">0.5. </t>
    </r>
    <r>
      <rPr>
        <i val="true"/>
        <sz val="10"/>
        <color rgb="FF595959"/>
        <rFont val="Noto Sans CJK SC"/>
        <family val="2"/>
      </rPr>
      <t xml:space="preserve">은닉층 </t>
    </r>
    <r>
      <rPr>
        <i val="true"/>
        <sz val="10"/>
        <color rgb="FF595959"/>
        <rFont val="Arial"/>
        <family val="0"/>
        <charset val="1"/>
      </rPr>
      <t xml:space="preserve">(28,56,28), Adam lr=0.01/3, </t>
    </r>
    <r>
      <rPr>
        <i val="true"/>
        <sz val="10"/>
        <color rgb="FF595959"/>
        <rFont val="Noto Sans CJK SC"/>
        <family val="2"/>
      </rPr>
      <t xml:space="preserve">배치 </t>
    </r>
    <r>
      <rPr>
        <i val="true"/>
        <sz val="10"/>
        <color rgb="FF595959"/>
        <rFont val="Arial"/>
        <family val="0"/>
        <charset val="1"/>
      </rPr>
      <t xml:space="preserve">64.</t>
    </r>
  </si>
  <si>
    <t xml:space="preserve">조건</t>
  </si>
  <si>
    <t xml:space="preserve">그룹</t>
  </si>
  <si>
    <t xml:space="preserve">eval</t>
  </si>
  <si>
    <t xml:space="preserve">드롭아웃</t>
  </si>
  <si>
    <t xml:space="preserve">위치</t>
  </si>
  <si>
    <t xml:space="preserve">클래스 가중치</t>
  </si>
  <si>
    <t xml:space="preserve">n</t>
  </si>
  <si>
    <r>
      <rPr>
        <b val="true"/>
        <sz val="11"/>
        <color rgb="FFFFFFFF"/>
        <rFont val="Arial"/>
        <family val="0"/>
        <charset val="1"/>
      </rPr>
      <t xml:space="preserve">PR-AUC </t>
    </r>
    <r>
      <rPr>
        <b val="true"/>
        <sz val="11"/>
        <color rgb="FFFFFFFF"/>
        <rFont val="Noto Sans CJK SC"/>
        <family val="2"/>
      </rPr>
      <t xml:space="preserve">평균</t>
    </r>
  </si>
  <si>
    <r>
      <rPr>
        <b val="true"/>
        <sz val="11"/>
        <color rgb="FFFFFFFF"/>
        <rFont val="Arial"/>
        <family val="0"/>
        <charset val="1"/>
      </rPr>
      <t xml:space="preserve">PR-AUC </t>
    </r>
    <r>
      <rPr>
        <b val="true"/>
        <sz val="11"/>
        <color rgb="FFFFFFFF"/>
        <rFont val="Noto Sans CJK SC"/>
        <family val="2"/>
      </rPr>
      <t xml:space="preserve">표준편차</t>
    </r>
  </si>
  <si>
    <r>
      <rPr>
        <b val="true"/>
        <sz val="11"/>
        <color rgb="FFFFFFFF"/>
        <rFont val="Arial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기준 </t>
    </r>
    <r>
      <rPr>
        <b val="true"/>
        <sz val="11"/>
        <color rgb="FFFFFFFF"/>
        <rFont val="Arial"/>
        <family val="0"/>
        <charset val="1"/>
      </rPr>
      <t xml:space="preserve">(PR-AUC)</t>
    </r>
  </si>
  <si>
    <r>
      <rPr>
        <b val="true"/>
        <sz val="11"/>
        <color rgb="FFFFFFFF"/>
        <rFont val="Arial"/>
        <family val="0"/>
        <charset val="1"/>
      </rPr>
      <t xml:space="preserve">|Δ| ÷ </t>
    </r>
    <r>
      <rPr>
        <b val="true"/>
        <sz val="11"/>
        <color rgb="FFFFFFFF"/>
        <rFont val="Noto Sans CJK SC"/>
        <family val="2"/>
      </rPr>
      <t xml:space="preserve">기준 표준편차</t>
    </r>
  </si>
  <si>
    <r>
      <rPr>
        <b val="true"/>
        <sz val="11"/>
        <color rgb="FFFFFFFF"/>
        <rFont val="Arial"/>
        <family val="0"/>
        <charset val="1"/>
      </rPr>
      <t xml:space="preserve">Recall </t>
    </r>
    <r>
      <rPr>
        <b val="true"/>
        <sz val="11"/>
        <color rgb="FFFFFFFF"/>
        <rFont val="Noto Sans CJK SC"/>
        <family val="2"/>
      </rPr>
      <t xml:space="preserve">평균</t>
    </r>
  </si>
  <si>
    <r>
      <rPr>
        <b val="true"/>
        <sz val="11"/>
        <color rgb="FFFFFFFF"/>
        <rFont val="Arial"/>
        <family val="0"/>
        <charset val="1"/>
      </rPr>
      <t xml:space="preserve">Recall </t>
    </r>
    <r>
      <rPr>
        <b val="true"/>
        <sz val="11"/>
        <color rgb="FFFFFFFF"/>
        <rFont val="Noto Sans CJK SC"/>
        <family val="2"/>
      </rPr>
      <t xml:space="preserve">표준편차</t>
    </r>
  </si>
  <si>
    <r>
      <rPr>
        <b val="true"/>
        <sz val="11"/>
        <color rgb="FFFFFFFF"/>
        <rFont val="Arial"/>
        <family val="0"/>
        <charset val="1"/>
      </rPr>
      <t xml:space="preserve">F1 </t>
    </r>
    <r>
      <rPr>
        <b val="true"/>
        <sz val="11"/>
        <color rgb="FFFFFFFF"/>
        <rFont val="Noto Sans CJK SC"/>
        <family val="2"/>
      </rPr>
      <t xml:space="preserve">평균</t>
    </r>
  </si>
  <si>
    <r>
      <rPr>
        <b val="true"/>
        <sz val="11"/>
        <color rgb="FFFFFFFF"/>
        <rFont val="Arial"/>
        <family val="0"/>
        <charset val="1"/>
      </rPr>
      <t xml:space="preserve">F1 </t>
    </r>
    <r>
      <rPr>
        <b val="true"/>
        <sz val="11"/>
        <color rgb="FFFFFFFF"/>
        <rFont val="Noto Sans CJK SC"/>
        <family val="2"/>
      </rPr>
      <t xml:space="preserve">표준편차</t>
    </r>
  </si>
  <si>
    <t xml:space="preserve">평균 에폭</t>
  </si>
  <si>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Arial"/>
        <family val="0"/>
        <charset val="1"/>
      </rPr>
      <t xml:space="preserve">best </t>
    </r>
    <r>
      <rPr>
        <b val="true"/>
        <sz val="11"/>
        <color rgb="FFFFFFFF"/>
        <rFont val="Noto Sans CJK SC"/>
        <family val="2"/>
      </rPr>
      <t xml:space="preserve">에폭</t>
    </r>
  </si>
  <si>
    <r>
      <rPr>
        <b val="true"/>
        <sz val="11"/>
        <color rgb="FFFFFFFF"/>
        <rFont val="Noto Sans CJK SC"/>
        <family val="2"/>
      </rPr>
      <t xml:space="preserve">최대에폭 도달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</si>
  <si>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base</t>
  </si>
  <si>
    <t xml:space="preserve">기준</t>
  </si>
  <si>
    <t xml:space="preserve">best</t>
  </si>
  <si>
    <t xml:space="preserve">all</t>
  </si>
  <si>
    <t xml:space="preserve">balanced</t>
  </si>
  <si>
    <t xml:space="preserve">last_epoch</t>
  </si>
  <si>
    <t xml:space="preserve">평가방식</t>
  </si>
  <si>
    <t xml:space="preserve">last</t>
  </si>
  <si>
    <t xml:space="preserve">es_p5</t>
  </si>
  <si>
    <t xml:space="preserve">조기종료</t>
  </si>
  <si>
    <t xml:space="preserve">es5</t>
  </si>
  <si>
    <t xml:space="preserve">do_none</t>
  </si>
  <si>
    <t xml:space="preserve">none</t>
  </si>
  <si>
    <t xml:space="preserve">do_all_0.3</t>
  </si>
  <si>
    <t xml:space="preserve">do_all_0.5</t>
  </si>
  <si>
    <t xml:space="preserve">do_last_0.2</t>
  </si>
  <si>
    <t xml:space="preserve">do_last_0.3</t>
  </si>
  <si>
    <t xml:space="preserve">do_last_0.5</t>
  </si>
  <si>
    <t xml:space="preserve">cw_none</t>
  </si>
  <si>
    <t xml:space="preserve">클래스가중치</t>
  </si>
  <si>
    <t xml:space="preserve">cw_sqrt</t>
  </si>
  <si>
    <t xml:space="preserve">sqrt</t>
  </si>
  <si>
    <r>
      <rPr>
        <sz val="9"/>
        <color rgb="FF595959"/>
        <rFont val="Arial"/>
        <family val="0"/>
        <charset val="1"/>
      </rPr>
      <t xml:space="preserve">※ Δ</t>
    </r>
    <r>
      <rPr>
        <sz val="9"/>
        <color rgb="FF595959"/>
        <rFont val="Noto Sans CJK SC"/>
        <family val="2"/>
      </rPr>
      <t xml:space="preserve">기준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각 조건 </t>
    </r>
    <r>
      <rPr>
        <sz val="9"/>
        <color rgb="FF595959"/>
        <rFont val="Arial"/>
        <family val="0"/>
        <charset val="1"/>
      </rPr>
      <t xml:space="preserve">PR-AUC </t>
    </r>
    <r>
      <rPr>
        <sz val="9"/>
        <color rgb="FF595959"/>
        <rFont val="Noto Sans CJK SC"/>
        <family val="2"/>
      </rPr>
      <t xml:space="preserve">평균 − </t>
    </r>
    <r>
      <rPr>
        <sz val="9"/>
        <color rgb="FF595959"/>
        <rFont val="Arial"/>
        <family val="0"/>
        <charset val="1"/>
      </rPr>
      <t xml:space="preserve">base PR-AUC </t>
    </r>
    <r>
      <rPr>
        <sz val="9"/>
        <color rgb="FF595959"/>
        <rFont val="Noto Sans CJK SC"/>
        <family val="2"/>
      </rPr>
      <t xml:space="preserve">평균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표에 적힌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자리 값으로 계산</t>
    </r>
    <r>
      <rPr>
        <sz val="9"/>
        <color rgb="FF595959"/>
        <rFont val="Arial"/>
        <family val="0"/>
        <charset val="1"/>
      </rPr>
      <t xml:space="preserve">). |Δ| ÷ </t>
    </r>
    <r>
      <rPr>
        <sz val="9"/>
        <color rgb="FF595959"/>
        <rFont val="Noto Sans CJK SC"/>
        <family val="2"/>
      </rPr>
      <t xml:space="preserve">기준 표준편차가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안팎이면 우열을 단정하기 어렵다</t>
    </r>
    <r>
      <rPr>
        <sz val="9"/>
        <color rgb="FF595959"/>
        <rFont val="Arial"/>
        <family val="0"/>
        <charset val="1"/>
      </rPr>
      <t xml:space="preserve">.</t>
    </r>
  </si>
  <si>
    <t xml:space="preserve">자료 출처</t>
  </si>
  <si>
    <r>
      <rPr>
        <sz val="10"/>
        <rFont val="Arial"/>
        <family val="0"/>
        <charset val="1"/>
      </rPr>
      <t xml:space="preserve">c2_final_experiment.py </t>
    </r>
    <r>
      <rPr>
        <sz val="10"/>
        <rFont val="Noto Sans CJK SC"/>
        <family val="2"/>
      </rPr>
      <t xml:space="preserve">전체 실행 후 터미널에 출력된 조건별 평균</t>
    </r>
    <r>
      <rPr>
        <sz val="10"/>
        <rFont val="Arial"/>
        <family val="0"/>
        <charset val="1"/>
      </rPr>
      <t xml:space="preserve">±</t>
    </r>
    <r>
      <rPr>
        <sz val="10"/>
        <rFont val="Noto Sans CJK SC"/>
        <family val="2"/>
      </rPr>
      <t xml:space="preserve">표준편차 요약표를 그대로 옮김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사용자 제공값</t>
    </r>
    <r>
      <rPr>
        <sz val="10"/>
        <rFont val="Arial"/>
        <family val="0"/>
        <charset val="1"/>
      </rPr>
      <t xml:space="preserve">).</t>
    </r>
  </si>
  <si>
    <t xml:space="preserve">표본</t>
  </si>
  <si>
    <r>
      <rPr>
        <sz val="10"/>
        <rFont val="Noto Sans CJK SC"/>
        <family val="2"/>
      </rPr>
      <t xml:space="preserve">조건당 시드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(42, 43, 44). </t>
    </r>
    <r>
      <rPr>
        <sz val="10"/>
        <rFont val="Noto Sans CJK SC"/>
        <family val="2"/>
      </rPr>
      <t xml:space="preserve">표준편차는 </t>
    </r>
    <r>
      <rPr>
        <sz val="10"/>
        <rFont val="Arial"/>
        <family val="0"/>
        <charset val="1"/>
      </rPr>
      <t xml:space="preserve">n-1 </t>
    </r>
    <r>
      <rPr>
        <sz val="10"/>
        <rFont val="Noto Sans CJK SC"/>
        <family val="2"/>
      </rPr>
      <t xml:space="preserve">표본 표준편차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</si>
  <si>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평가 방식 </t>
    </r>
    <r>
      <rPr>
        <b val="true"/>
        <sz val="10"/>
        <rFont val="Arial"/>
        <family val="0"/>
        <charset val="1"/>
      </rPr>
      <t xml:space="preserve">best</t>
    </r>
  </si>
  <si>
    <r>
      <rPr>
        <sz val="10"/>
        <rFont val="Noto Sans CJK SC"/>
        <family val="2"/>
      </rPr>
      <t xml:space="preserve">조기종료 없이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에폭 학습 후 </t>
    </r>
    <r>
      <rPr>
        <sz val="10"/>
        <rFont val="Arial"/>
        <family val="0"/>
        <charset val="1"/>
      </rPr>
      <t xml:space="preserve">val_pr_auc</t>
    </r>
    <r>
      <rPr>
        <sz val="10"/>
        <rFont val="Noto Sans CJK SC"/>
        <family val="2"/>
      </rPr>
      <t xml:space="preserve">가 가장 높았던 에폭의 가중치로 복원해 평가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</si>
  <si>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평가 방식 </t>
    </r>
    <r>
      <rPr>
        <b val="true"/>
        <sz val="10"/>
        <rFont val="Arial"/>
        <family val="0"/>
        <charset val="1"/>
      </rPr>
      <t xml:space="preserve">last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</si>
  <si>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에폭 학습 후 마지막 에폭 가중치 그대로 평가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</si>
  <si>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평가 방식 </t>
    </r>
    <r>
      <rPr>
        <b val="true"/>
        <sz val="10"/>
        <rFont val="Arial"/>
        <family val="0"/>
        <charset val="1"/>
      </rPr>
      <t xml:space="preserve">es5 / es10</t>
    </r>
  </si>
  <si>
    <r>
      <rPr>
        <sz val="10"/>
        <rFont val="Arial"/>
        <family val="0"/>
        <charset val="1"/>
      </rPr>
      <t xml:space="preserve">EarlyStopping(val_pr_auc, patience 5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10,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에폭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최고 가중치 복원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</si>
  <si>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드롭아웃 </t>
    </r>
    <r>
      <rPr>
        <sz val="10"/>
        <rFont val="Arial"/>
        <family val="0"/>
        <charset val="1"/>
      </rPr>
      <t xml:space="preserve">0.2(</t>
    </r>
    <r>
      <rPr>
        <sz val="10"/>
        <rFont val="Noto Sans CJK SC"/>
        <family val="2"/>
      </rPr>
      <t xml:space="preserve">모든 은닉층 뒤</t>
    </r>
    <r>
      <rPr>
        <sz val="10"/>
        <rFont val="Arial"/>
        <family val="0"/>
        <charset val="1"/>
      </rPr>
      <t xml:space="preserve">), class_weight balanced, eval best. </t>
    </r>
    <r>
      <rPr>
        <sz val="10"/>
        <rFont val="Noto Sans CJK SC"/>
        <family val="2"/>
      </rPr>
      <t xml:space="preserve">나머지 조건은 </t>
    </r>
    <r>
      <rPr>
        <sz val="10"/>
        <rFont val="Arial"/>
        <family val="0"/>
        <charset val="1"/>
      </rPr>
      <t xml:space="preserve">base</t>
    </r>
    <r>
      <rPr>
        <sz val="10"/>
        <rFont val="Noto Sans CJK SC"/>
        <family val="2"/>
      </rPr>
      <t xml:space="preserve">에서 한 가지만 변경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</si>
  <si>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기준 계산</t>
    </r>
  </si>
  <si>
    <r>
      <rPr>
        <sz val="10"/>
        <rFont val="Noto Sans CJK SC"/>
        <family val="2"/>
      </rPr>
      <t xml:space="preserve">시트의 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자리 평균값끼리 뺀 수식이라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터미널 출력과 마지막 자리가 </t>
    </r>
    <r>
      <rPr>
        <sz val="10"/>
        <rFont val="Arial"/>
        <family val="0"/>
        <charset val="1"/>
      </rPr>
      <t xml:space="preserve">0.0001 </t>
    </r>
    <r>
      <rPr>
        <sz val="10"/>
        <rFont val="Noto Sans CJK SC"/>
        <family val="2"/>
      </rPr>
      <t xml:space="preserve">다를 수 있음 </t>
    </r>
    <r>
      <rPr>
        <sz val="10"/>
        <rFont val="Arial"/>
        <family val="0"/>
        <charset val="1"/>
      </rPr>
      <t xml:space="preserve">(do_all_0.5, do_last_0.2, do_last_0.3).</t>
    </r>
  </si>
  <si>
    <t xml:space="preserve">누락 조건</t>
  </si>
  <si>
    <r>
      <rPr>
        <sz val="10"/>
        <rFont val="Arial"/>
        <family val="0"/>
        <charset val="1"/>
      </rPr>
      <t xml:space="preserve">es_p10 </t>
    </r>
    <r>
      <rPr>
        <sz val="10"/>
        <rFont val="Noto Sans CJK SC"/>
        <family val="2"/>
      </rPr>
      <t xml:space="preserve">행은 전달받은 출력표에 없어서 이 시트에도 포함되지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값을 주시면 추가 가능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</si>
  <si>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관찰 </t>
    </r>
    <r>
      <rPr>
        <b val="true"/>
        <sz val="10"/>
        <rFont val="Arial"/>
        <family val="0"/>
        <charset val="1"/>
      </rPr>
      <t xml:space="preserve">(n=3, </t>
    </r>
    <r>
      <rPr>
        <b val="true"/>
        <sz val="10"/>
        <rFont val="Noto Sans CJK SC"/>
        <family val="2"/>
      </rPr>
      <t xml:space="preserve">참고용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</si>
  <si>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PR-AUC </t>
    </r>
    <r>
      <rPr>
        <b val="true"/>
        <sz val="10"/>
        <rFont val="Noto Sans CJK SC"/>
        <family val="2"/>
      </rPr>
      <t xml:space="preserve">최고</t>
    </r>
  </si>
  <si>
    <r>
      <rPr>
        <sz val="10"/>
        <rFont val="Arial"/>
        <family val="0"/>
        <charset val="1"/>
      </rPr>
      <t xml:space="preserve">cw_none 0.6988 (+0.0027). </t>
    </r>
    <r>
      <rPr>
        <sz val="10"/>
        <rFont val="Noto Sans CJK SC"/>
        <family val="2"/>
      </rPr>
      <t xml:space="preserve">표준편차</t>
    </r>
    <r>
      <rPr>
        <sz val="10"/>
        <rFont val="Arial"/>
        <family val="0"/>
        <charset val="1"/>
      </rPr>
      <t xml:space="preserve">(0.0129)</t>
    </r>
    <r>
      <rPr>
        <sz val="10"/>
        <rFont val="Noto Sans CJK SC"/>
        <family val="2"/>
      </rPr>
      <t xml:space="preserve">보다 차이가 작아 </t>
    </r>
    <r>
      <rPr>
        <sz val="10"/>
        <rFont val="Arial"/>
        <family val="0"/>
        <charset val="1"/>
      </rPr>
      <t xml:space="preserve">base</t>
    </r>
    <r>
      <rPr>
        <sz val="10"/>
        <rFont val="Noto Sans CJK SC"/>
        <family val="2"/>
      </rPr>
      <t xml:space="preserve">와 구분되지 않음</t>
    </r>
    <r>
      <rPr>
        <sz val="10"/>
        <rFont val="Arial"/>
        <family val="0"/>
        <charset val="1"/>
      </rPr>
      <t xml:space="preserve">.</t>
    </r>
  </si>
  <si>
    <t xml:space="preserve">드롭아웃 제거</t>
  </si>
  <si>
    <r>
      <rPr>
        <sz val="10"/>
        <rFont val="Arial"/>
        <family val="0"/>
        <charset val="1"/>
      </rPr>
      <t xml:space="preserve">do_none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PR-AUC</t>
    </r>
    <r>
      <rPr>
        <sz val="10"/>
        <rFont val="Noto Sans CJK SC"/>
        <family val="2"/>
      </rPr>
      <t xml:space="preserve">가 −</t>
    </r>
    <r>
      <rPr>
        <sz val="10"/>
        <rFont val="Arial"/>
        <family val="0"/>
        <charset val="1"/>
      </rPr>
      <t xml:space="preserve">0.0267 </t>
    </r>
    <r>
      <rPr>
        <sz val="10"/>
        <rFont val="Noto Sans CJK SC"/>
        <family val="2"/>
      </rPr>
      <t xml:space="preserve">낮고 최고 에폭이 평균 </t>
    </r>
    <r>
      <rPr>
        <sz val="10"/>
        <rFont val="Arial"/>
        <family val="0"/>
        <charset val="1"/>
      </rPr>
      <t xml:space="preserve">10.7</t>
    </r>
    <r>
      <rPr>
        <sz val="10"/>
        <rFont val="Noto Sans CJK SC"/>
        <family val="2"/>
      </rPr>
      <t xml:space="preserve">로 이르다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과적합이 빨리 시작되는 것으로 보임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</si>
  <si>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드롭아웃 </t>
    </r>
    <r>
      <rPr>
        <b val="true"/>
        <sz val="10"/>
        <rFont val="Arial"/>
        <family val="0"/>
        <charset val="1"/>
      </rPr>
      <t xml:space="preserve">0.5(all)</t>
    </r>
  </si>
  <si>
    <r>
      <rPr>
        <sz val="10"/>
        <rFont val="Arial"/>
        <family val="0"/>
        <charset val="1"/>
      </rPr>
      <t xml:space="preserve">PR-AUC −0.0535</t>
    </r>
    <r>
      <rPr>
        <sz val="10"/>
        <rFont val="Noto Sans CJK SC"/>
        <family val="2"/>
      </rPr>
      <t xml:space="preserve">로 가장 크게 하락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모든 층에 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는 과하다</t>
    </r>
    <r>
      <rPr>
        <sz val="10"/>
        <rFont val="Arial"/>
        <family val="0"/>
        <charset val="1"/>
      </rPr>
      <t xml:space="preserve">.</t>
    </r>
  </si>
  <si>
    <t xml:space="preserve">평가 방식</t>
  </si>
  <si>
    <r>
      <rPr>
        <sz val="10"/>
        <rFont val="Arial"/>
        <family val="0"/>
        <charset val="1"/>
      </rPr>
      <t xml:space="preserve">last_epoch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base</t>
    </r>
    <r>
      <rPr>
        <sz val="10"/>
        <rFont val="Noto Sans CJK SC"/>
        <family val="2"/>
      </rPr>
      <t xml:space="preserve">보다 −</t>
    </r>
    <r>
      <rPr>
        <sz val="10"/>
        <rFont val="Arial"/>
        <family val="0"/>
        <charset val="1"/>
      </rPr>
      <t xml:space="preserve">0.0080. </t>
    </r>
    <r>
      <rPr>
        <sz val="10"/>
        <rFont val="Noto Sans CJK SC"/>
        <family val="2"/>
      </rPr>
      <t xml:space="preserve">최고 에폭 복원의 이득은 작은 편</t>
    </r>
    <r>
      <rPr>
        <sz val="10"/>
        <rFont val="Arial"/>
        <family val="0"/>
        <charset val="1"/>
      </rPr>
      <t xml:space="preserve">.</t>
    </r>
  </si>
  <si>
    <t xml:space="preserve">Recall vs F1</t>
  </si>
  <si>
    <r>
      <rPr>
        <sz val="10"/>
        <rFont val="Arial"/>
        <family val="0"/>
        <charset val="1"/>
      </rPr>
      <t xml:space="preserve">cw_none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Recall 0.5916</t>
    </r>
    <r>
      <rPr>
        <sz val="10"/>
        <rFont val="Noto Sans CJK SC"/>
        <family val="2"/>
      </rPr>
      <t xml:space="preserve">으로 낮지만 </t>
    </r>
    <r>
      <rPr>
        <sz val="10"/>
        <rFont val="Arial"/>
        <family val="0"/>
        <charset val="1"/>
      </rPr>
      <t xml:space="preserve">F1 0.6337</t>
    </r>
    <r>
      <rPr>
        <sz val="10"/>
        <rFont val="Noto Sans CJK SC"/>
        <family val="2"/>
      </rPr>
      <t xml:space="preserve">로 높음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임계값 </t>
    </r>
    <r>
      <rPr>
        <sz val="10"/>
        <rFont val="Arial"/>
        <family val="0"/>
        <charset val="1"/>
      </rPr>
      <t xml:space="preserve">0.5 </t>
    </r>
    <r>
      <rPr>
        <sz val="10"/>
        <rFont val="Noto Sans CJK SC"/>
        <family val="2"/>
      </rPr>
      <t xml:space="preserve">기준이라 클래스 가중치가 </t>
    </r>
    <r>
      <rPr>
        <sz val="10"/>
        <rFont val="Arial"/>
        <family val="0"/>
        <charset val="1"/>
      </rPr>
      <t xml:space="preserve">Recall/Precision </t>
    </r>
    <r>
      <rPr>
        <sz val="10"/>
        <rFont val="Noto Sans CJK SC"/>
        <family val="2"/>
      </rPr>
      <t xml:space="preserve">균형을 크게 바꾼 결과</t>
    </r>
    <r>
      <rPr>
        <sz val="10"/>
        <rFont val="Arial"/>
        <family val="0"/>
        <charset val="1"/>
      </rPr>
      <t xml:space="preserve">. PR-AUC(</t>
    </r>
    <r>
      <rPr>
        <sz val="10"/>
        <rFont val="Noto Sans CJK SC"/>
        <family val="2"/>
      </rPr>
      <t xml:space="preserve">임계값 무관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비슷함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</si>
</sst>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0"/>
    <numFmt numFmtId="167" formatCode="\+0.0000;\-0.0000;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조건별 PR-AUC 평균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'결과 요약'!H4</c:f>
              <c:strCache>
                <c:ptCount val="1"/>
                <c:pt idx="0">
                  <c:v>PR-AUC 평균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'결과 요약'!$A$5:$A$15</c:f>
              <c:strCache>
                <c:ptCount val="11"/>
                <c:pt idx="0">
                  <c:v>base</c:v>
                </c:pt>
                <c:pt idx="1">
                  <c:v>last_epoch</c:v>
                </c:pt>
                <c:pt idx="2">
                  <c:v>es_p5</c:v>
                </c:pt>
                <c:pt idx="3">
                  <c:v>do_none</c:v>
                </c:pt>
                <c:pt idx="4">
                  <c:v>do_all_0.3</c:v>
                </c:pt>
                <c:pt idx="5">
                  <c:v>do_all_0.5</c:v>
                </c:pt>
                <c:pt idx="6">
                  <c:v>do_last_0.2</c:v>
                </c:pt>
                <c:pt idx="7">
                  <c:v>do_last_0.3</c:v>
                </c:pt>
                <c:pt idx="8">
                  <c:v>do_last_0.5</c:v>
                </c:pt>
                <c:pt idx="9">
                  <c:v>cw_none</c:v>
                </c:pt>
                <c:pt idx="10">
                  <c:v>cw_sqrt</c:v>
                </c:pt>
              </c:strCache>
            </c:strRef>
          </c:cat>
          <c:val>
            <c:numRef>
              <c:f>'결과 요약'!$H$5:$H$15</c:f>
              <c:numCache>
                <c:formatCode>0.0000</c:formatCode>
                <c:ptCount val="11"/>
                <c:pt idx="0">
                  <c:v>0.6961</c:v>
                </c:pt>
                <c:pt idx="1">
                  <c:v>0.6881</c:v>
                </c:pt>
                <c:pt idx="2">
                  <c:v>0.6791</c:v>
                </c:pt>
                <c:pt idx="3">
                  <c:v>0.6694</c:v>
                </c:pt>
                <c:pt idx="4">
                  <c:v>0.6823</c:v>
                </c:pt>
                <c:pt idx="5">
                  <c:v>0.6425</c:v>
                </c:pt>
                <c:pt idx="6">
                  <c:v>0.6859</c:v>
                </c:pt>
                <c:pt idx="7">
                  <c:v>0.6864</c:v>
                </c:pt>
                <c:pt idx="8">
                  <c:v>0.6893</c:v>
                </c:pt>
                <c:pt idx="9">
                  <c:v>0.6988</c:v>
                </c:pt>
                <c:pt idx="10">
                  <c:v>0.6947</c:v>
                </c:pt>
              </c:numCache>
            </c:numRef>
          </c:val>
        </c:ser>
        <c:gapWidth val="150"/>
        <c:overlap val="0"/>
        <c:axId val="62566160"/>
        <c:axId val="29533448"/>
      </c:barChart>
      <c:catAx>
        <c:axId val="6256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33448"/>
        <c:crosses val="autoZero"/>
        <c:auto val="1"/>
        <c:lblAlgn val="ctr"/>
        <c:lblOffset val="100"/>
        <c:noMultiLvlLbl val="0"/>
      </c:catAx>
      <c:valAx>
        <c:axId val="29533448"/>
        <c:scaling>
          <c:orientation val="minMax"/>
          <c:max val="0.72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PR-AUC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661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106560</xdr:rowOff>
    </xdr:from>
    <xdr:to>
      <xdr:col>9</xdr:col>
      <xdr:colOff>644400</xdr:colOff>
      <xdr:row>33</xdr:row>
      <xdr:rowOff>118440</xdr:rowOff>
    </xdr:to>
    <xdr:graphicFrame>
      <xdr:nvGraphicFramePr>
        <xdr:cNvPr id="0" name="Chart 1"/>
        <xdr:cNvGraphicFramePr/>
      </xdr:nvGraphicFramePr>
      <xdr:xfrm>
        <a:off x="0" y="363852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15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5" t="s">
        <v>20</v>
      </c>
      <c r="B5" s="6" t="s">
        <v>21</v>
      </c>
      <c r="C5" s="5" t="s">
        <v>22</v>
      </c>
      <c r="D5" s="7" t="n">
        <v>0.2</v>
      </c>
      <c r="E5" s="5" t="s">
        <v>23</v>
      </c>
      <c r="F5" s="5" t="s">
        <v>24</v>
      </c>
      <c r="G5" s="8" t="n">
        <v>3</v>
      </c>
      <c r="H5" s="9" t="n">
        <v>0.6961</v>
      </c>
      <c r="I5" s="9" t="n">
        <v>0.005</v>
      </c>
      <c r="J5" s="10" t="n">
        <f aca="false">H5-$H$5</f>
        <v>0</v>
      </c>
      <c r="K5" s="7" t="n">
        <f aca="false">ABS(J5)/$I$5</f>
        <v>0</v>
      </c>
      <c r="L5" s="9" t="n">
        <v>0.8115</v>
      </c>
      <c r="M5" s="9" t="n">
        <v>0.0105</v>
      </c>
      <c r="N5" s="9" t="n">
        <v>0.5954</v>
      </c>
      <c r="O5" s="9" t="n">
        <v>0.0078</v>
      </c>
      <c r="P5" s="7" t="n">
        <v>30</v>
      </c>
      <c r="Q5" s="7" t="n">
        <v>27.7</v>
      </c>
      <c r="R5" s="8" t="n">
        <v>3</v>
      </c>
    </row>
    <row r="6" customFormat="false" ht="15" hidden="false" customHeight="false" outlineLevel="0" collapsed="false">
      <c r="A6" s="11" t="s">
        <v>25</v>
      </c>
      <c r="B6" s="12" t="s">
        <v>26</v>
      </c>
      <c r="C6" s="11" t="s">
        <v>27</v>
      </c>
      <c r="D6" s="13" t="n">
        <v>0.2</v>
      </c>
      <c r="E6" s="11" t="s">
        <v>23</v>
      </c>
      <c r="F6" s="11" t="s">
        <v>24</v>
      </c>
      <c r="G6" s="14" t="n">
        <v>3</v>
      </c>
      <c r="H6" s="15" t="n">
        <v>0.6881</v>
      </c>
      <c r="I6" s="15" t="n">
        <v>0.0027</v>
      </c>
      <c r="J6" s="16" t="n">
        <f aca="false">H6-$H$5</f>
        <v>-0.00800000000000001</v>
      </c>
      <c r="K6" s="13" t="n">
        <f aca="false">ABS(J6)/$I$5</f>
        <v>1.6</v>
      </c>
      <c r="L6" s="15" t="n">
        <v>0.8168</v>
      </c>
      <c r="M6" s="15" t="n">
        <v>0.0228</v>
      </c>
      <c r="N6" s="15" t="n">
        <v>0.5934</v>
      </c>
      <c r="O6" s="15" t="n">
        <v>0.0098</v>
      </c>
      <c r="P6" s="13" t="n">
        <v>30</v>
      </c>
      <c r="Q6" s="13" t="n">
        <v>27.7</v>
      </c>
      <c r="R6" s="14" t="n">
        <v>3</v>
      </c>
    </row>
    <row r="7" customFormat="false" ht="15" hidden="false" customHeight="false" outlineLevel="0" collapsed="false">
      <c r="A7" s="11" t="s">
        <v>28</v>
      </c>
      <c r="B7" s="12" t="s">
        <v>29</v>
      </c>
      <c r="C7" s="11" t="s">
        <v>30</v>
      </c>
      <c r="D7" s="13" t="n">
        <v>0.2</v>
      </c>
      <c r="E7" s="11" t="s">
        <v>23</v>
      </c>
      <c r="F7" s="11" t="s">
        <v>24</v>
      </c>
      <c r="G7" s="14" t="n">
        <v>3</v>
      </c>
      <c r="H7" s="15" t="n">
        <v>0.6791</v>
      </c>
      <c r="I7" s="15" t="n">
        <v>0.0173</v>
      </c>
      <c r="J7" s="16" t="n">
        <f aca="false">H7-$H$5</f>
        <v>-0.017</v>
      </c>
      <c r="K7" s="13" t="n">
        <f aca="false">ABS(J7)/$I$5</f>
        <v>3.4</v>
      </c>
      <c r="L7" s="15" t="n">
        <v>0.8045</v>
      </c>
      <c r="M7" s="15" t="n">
        <v>0.0168</v>
      </c>
      <c r="N7" s="15" t="n">
        <v>0.5942</v>
      </c>
      <c r="O7" s="15" t="n">
        <v>0.0073</v>
      </c>
      <c r="P7" s="13" t="n">
        <v>23.3</v>
      </c>
      <c r="Q7" s="13" t="n">
        <v>18.3</v>
      </c>
      <c r="R7" s="14" t="n">
        <v>0</v>
      </c>
    </row>
    <row r="8" customFormat="false" ht="15" hidden="false" customHeight="false" outlineLevel="0" collapsed="false">
      <c r="A8" s="11" t="s">
        <v>31</v>
      </c>
      <c r="B8" s="12" t="s">
        <v>5</v>
      </c>
      <c r="C8" s="11" t="s">
        <v>22</v>
      </c>
      <c r="D8" s="13" t="n">
        <v>0</v>
      </c>
      <c r="E8" s="11" t="s">
        <v>32</v>
      </c>
      <c r="F8" s="11" t="s">
        <v>24</v>
      </c>
      <c r="G8" s="14" t="n">
        <v>3</v>
      </c>
      <c r="H8" s="15" t="n">
        <v>0.6694</v>
      </c>
      <c r="I8" s="15" t="n">
        <v>0.0122</v>
      </c>
      <c r="J8" s="16" t="n">
        <f aca="false">H8-$H$5</f>
        <v>-0.0267000000000001</v>
      </c>
      <c r="K8" s="13" t="n">
        <f aca="false">ABS(J8)/$I$5</f>
        <v>5.34000000000001</v>
      </c>
      <c r="L8" s="15" t="n">
        <v>0.7993</v>
      </c>
      <c r="M8" s="15" t="n">
        <v>0.0184</v>
      </c>
      <c r="N8" s="15" t="n">
        <v>0.5637</v>
      </c>
      <c r="O8" s="15" t="n">
        <v>0.008</v>
      </c>
      <c r="P8" s="13" t="n">
        <v>30</v>
      </c>
      <c r="Q8" s="13" t="n">
        <v>10.7</v>
      </c>
      <c r="R8" s="14" t="n">
        <v>3</v>
      </c>
    </row>
    <row r="9" customFormat="false" ht="15" hidden="false" customHeight="false" outlineLevel="0" collapsed="false">
      <c r="A9" s="11" t="s">
        <v>33</v>
      </c>
      <c r="B9" s="12" t="s">
        <v>5</v>
      </c>
      <c r="C9" s="11" t="s">
        <v>22</v>
      </c>
      <c r="D9" s="13" t="n">
        <v>0.3</v>
      </c>
      <c r="E9" s="11" t="s">
        <v>23</v>
      </c>
      <c r="F9" s="11" t="s">
        <v>24</v>
      </c>
      <c r="G9" s="14" t="n">
        <v>3</v>
      </c>
      <c r="H9" s="15" t="n">
        <v>0.6823</v>
      </c>
      <c r="I9" s="15" t="n">
        <v>0.0112</v>
      </c>
      <c r="J9" s="16" t="n">
        <f aca="false">H9-$H$5</f>
        <v>-0.0138</v>
      </c>
      <c r="K9" s="13" t="n">
        <f aca="false">ABS(J9)/$I$5</f>
        <v>2.76000000000001</v>
      </c>
      <c r="L9" s="15" t="n">
        <v>0.8133</v>
      </c>
      <c r="M9" s="15" t="n">
        <v>0.0132</v>
      </c>
      <c r="N9" s="15" t="n">
        <v>0.6006</v>
      </c>
      <c r="O9" s="15" t="n">
        <v>0.0116</v>
      </c>
      <c r="P9" s="13" t="n">
        <v>30</v>
      </c>
      <c r="Q9" s="13" t="n">
        <v>27.3</v>
      </c>
      <c r="R9" s="14" t="n">
        <v>3</v>
      </c>
    </row>
    <row r="10" customFormat="false" ht="15" hidden="false" customHeight="false" outlineLevel="0" collapsed="false">
      <c r="A10" s="11" t="s">
        <v>34</v>
      </c>
      <c r="B10" s="12" t="s">
        <v>5</v>
      </c>
      <c r="C10" s="11" t="s">
        <v>22</v>
      </c>
      <c r="D10" s="13" t="n">
        <v>0.5</v>
      </c>
      <c r="E10" s="11" t="s">
        <v>23</v>
      </c>
      <c r="F10" s="11" t="s">
        <v>24</v>
      </c>
      <c r="G10" s="14" t="n">
        <v>3</v>
      </c>
      <c r="H10" s="15" t="n">
        <v>0.6425</v>
      </c>
      <c r="I10" s="15" t="n">
        <v>0.0087</v>
      </c>
      <c r="J10" s="16" t="n">
        <f aca="false">H10-$H$5</f>
        <v>-0.0536000000000001</v>
      </c>
      <c r="K10" s="13" t="n">
        <f aca="false">ABS(J10)/$I$5</f>
        <v>10.72</v>
      </c>
      <c r="L10" s="15" t="n">
        <v>0.8255</v>
      </c>
      <c r="M10" s="15" t="n">
        <v>0.0109</v>
      </c>
      <c r="N10" s="15" t="n">
        <v>0.5906</v>
      </c>
      <c r="O10" s="15" t="n">
        <v>0.0088</v>
      </c>
      <c r="P10" s="13" t="n">
        <v>30</v>
      </c>
      <c r="Q10" s="13" t="n">
        <v>29</v>
      </c>
      <c r="R10" s="14" t="n">
        <v>3</v>
      </c>
    </row>
    <row r="11" customFormat="false" ht="15" hidden="false" customHeight="false" outlineLevel="0" collapsed="false">
      <c r="A11" s="11" t="s">
        <v>35</v>
      </c>
      <c r="B11" s="12" t="s">
        <v>5</v>
      </c>
      <c r="C11" s="11" t="s">
        <v>22</v>
      </c>
      <c r="D11" s="13" t="n">
        <v>0.2</v>
      </c>
      <c r="E11" s="11" t="s">
        <v>27</v>
      </c>
      <c r="F11" s="11" t="s">
        <v>24</v>
      </c>
      <c r="G11" s="14" t="n">
        <v>3</v>
      </c>
      <c r="H11" s="15" t="n">
        <v>0.6859</v>
      </c>
      <c r="I11" s="15" t="n">
        <v>0.0053</v>
      </c>
      <c r="J11" s="16" t="n">
        <f aca="false">H11-$H$5</f>
        <v>-0.0102000000000001</v>
      </c>
      <c r="K11" s="13" t="n">
        <f aca="false">ABS(J11)/$I$5</f>
        <v>2.04000000000002</v>
      </c>
      <c r="L11" s="15" t="n">
        <v>0.8429</v>
      </c>
      <c r="M11" s="15" t="n">
        <v>0.0292</v>
      </c>
      <c r="N11" s="15" t="n">
        <v>0.5739</v>
      </c>
      <c r="O11" s="15" t="n">
        <v>0.0096</v>
      </c>
      <c r="P11" s="13" t="n">
        <v>30</v>
      </c>
      <c r="Q11" s="13" t="n">
        <v>17.3</v>
      </c>
      <c r="R11" s="14" t="n">
        <v>3</v>
      </c>
    </row>
    <row r="12" customFormat="false" ht="15" hidden="false" customHeight="false" outlineLevel="0" collapsed="false">
      <c r="A12" s="11" t="s">
        <v>36</v>
      </c>
      <c r="B12" s="12" t="s">
        <v>5</v>
      </c>
      <c r="C12" s="11" t="s">
        <v>22</v>
      </c>
      <c r="D12" s="13" t="n">
        <v>0.3</v>
      </c>
      <c r="E12" s="11" t="s">
        <v>27</v>
      </c>
      <c r="F12" s="11" t="s">
        <v>24</v>
      </c>
      <c r="G12" s="14" t="n">
        <v>3</v>
      </c>
      <c r="H12" s="15" t="n">
        <v>0.6864</v>
      </c>
      <c r="I12" s="15" t="n">
        <v>0.0047</v>
      </c>
      <c r="J12" s="16" t="n">
        <f aca="false">H12-$H$5</f>
        <v>-0.00970000000000004</v>
      </c>
      <c r="K12" s="13" t="n">
        <f aca="false">ABS(J12)/$I$5</f>
        <v>1.94000000000001</v>
      </c>
      <c r="L12" s="15" t="n">
        <v>0.8377</v>
      </c>
      <c r="M12" s="15" t="n">
        <v>0.0189</v>
      </c>
      <c r="N12" s="15" t="n">
        <v>0.5734</v>
      </c>
      <c r="O12" s="15" t="n">
        <v>0.0117</v>
      </c>
      <c r="P12" s="13" t="n">
        <v>30</v>
      </c>
      <c r="Q12" s="13" t="n">
        <v>19</v>
      </c>
      <c r="R12" s="14" t="n">
        <v>3</v>
      </c>
    </row>
    <row r="13" customFormat="false" ht="15" hidden="false" customHeight="false" outlineLevel="0" collapsed="false">
      <c r="A13" s="11" t="s">
        <v>37</v>
      </c>
      <c r="B13" s="12" t="s">
        <v>5</v>
      </c>
      <c r="C13" s="11" t="s">
        <v>22</v>
      </c>
      <c r="D13" s="13" t="n">
        <v>0.5</v>
      </c>
      <c r="E13" s="11" t="s">
        <v>27</v>
      </c>
      <c r="F13" s="11" t="s">
        <v>24</v>
      </c>
      <c r="G13" s="14" t="n">
        <v>3</v>
      </c>
      <c r="H13" s="15" t="n">
        <v>0.6893</v>
      </c>
      <c r="I13" s="15" t="n">
        <v>0.0075</v>
      </c>
      <c r="J13" s="16" t="n">
        <f aca="false">H13-$H$5</f>
        <v>-0.00680000000000003</v>
      </c>
      <c r="K13" s="13" t="n">
        <f aca="false">ABS(J13)/$I$5</f>
        <v>1.36000000000001</v>
      </c>
      <c r="L13" s="15" t="n">
        <v>0.8482</v>
      </c>
      <c r="M13" s="15" t="n">
        <v>0.0447</v>
      </c>
      <c r="N13" s="15" t="n">
        <v>0.5404</v>
      </c>
      <c r="O13" s="15" t="n">
        <v>0.0221</v>
      </c>
      <c r="P13" s="13" t="n">
        <v>30</v>
      </c>
      <c r="Q13" s="13" t="n">
        <v>16.3</v>
      </c>
      <c r="R13" s="14" t="n">
        <v>3</v>
      </c>
    </row>
    <row r="14" customFormat="false" ht="15" hidden="false" customHeight="false" outlineLevel="0" collapsed="false">
      <c r="A14" s="11" t="s">
        <v>38</v>
      </c>
      <c r="B14" s="12" t="s">
        <v>39</v>
      </c>
      <c r="C14" s="11" t="s">
        <v>22</v>
      </c>
      <c r="D14" s="13" t="n">
        <v>0.2</v>
      </c>
      <c r="E14" s="11" t="s">
        <v>23</v>
      </c>
      <c r="F14" s="11" t="s">
        <v>32</v>
      </c>
      <c r="G14" s="14" t="n">
        <v>3</v>
      </c>
      <c r="H14" s="15" t="n">
        <v>0.6988</v>
      </c>
      <c r="I14" s="15" t="n">
        <v>0.0129</v>
      </c>
      <c r="J14" s="16" t="n">
        <f aca="false">H14-$H$5</f>
        <v>0.00269999999999992</v>
      </c>
      <c r="K14" s="13" t="n">
        <f aca="false">ABS(J14)/$I$5</f>
        <v>0.539999999999985</v>
      </c>
      <c r="L14" s="15" t="n">
        <v>0.5916</v>
      </c>
      <c r="M14" s="15" t="n">
        <v>0.0105</v>
      </c>
      <c r="N14" s="15" t="n">
        <v>0.6337</v>
      </c>
      <c r="O14" s="15" t="n">
        <v>0.0073</v>
      </c>
      <c r="P14" s="13" t="n">
        <v>30</v>
      </c>
      <c r="Q14" s="13" t="n">
        <v>26</v>
      </c>
      <c r="R14" s="14" t="n">
        <v>3</v>
      </c>
    </row>
    <row r="15" customFormat="false" ht="15" hidden="false" customHeight="false" outlineLevel="0" collapsed="false">
      <c r="A15" s="11" t="s">
        <v>40</v>
      </c>
      <c r="B15" s="12" t="s">
        <v>39</v>
      </c>
      <c r="C15" s="11" t="s">
        <v>22</v>
      </c>
      <c r="D15" s="13" t="n">
        <v>0.2</v>
      </c>
      <c r="E15" s="11" t="s">
        <v>23</v>
      </c>
      <c r="F15" s="11" t="s">
        <v>41</v>
      </c>
      <c r="G15" s="14" t="n">
        <v>3</v>
      </c>
      <c r="H15" s="15" t="n">
        <v>0.6947</v>
      </c>
      <c r="I15" s="15" t="n">
        <v>0.0063</v>
      </c>
      <c r="J15" s="16" t="n">
        <f aca="false">H15-$H$5</f>
        <v>-0.00140000000000007</v>
      </c>
      <c r="K15" s="13" t="n">
        <f aca="false">ABS(J15)/$I$5</f>
        <v>0.280000000000014</v>
      </c>
      <c r="L15" s="15" t="n">
        <v>0.7208</v>
      </c>
      <c r="M15" s="15" t="n">
        <v>0.0109</v>
      </c>
      <c r="N15" s="15" t="n">
        <v>0.6379</v>
      </c>
      <c r="O15" s="15" t="n">
        <v>0.0096</v>
      </c>
      <c r="P15" s="13" t="n">
        <v>30</v>
      </c>
      <c r="Q15" s="13" t="n">
        <v>24.7</v>
      </c>
      <c r="R15" s="14" t="n">
        <v>3</v>
      </c>
    </row>
    <row r="17" customFormat="false" ht="15" hidden="false" customHeight="false" outlineLevel="0" collapsed="false">
      <c r="A17" s="1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8" t="s">
        <v>43</v>
      </c>
      <c r="B1" s="19" t="s">
        <v>44</v>
      </c>
    </row>
    <row r="2" customFormat="false" ht="15" hidden="false" customHeight="false" outlineLevel="0" collapsed="false">
      <c r="A2" s="18" t="s">
        <v>45</v>
      </c>
      <c r="B2" s="20" t="s">
        <v>46</v>
      </c>
    </row>
    <row r="3" customFormat="false" ht="15" hidden="false" customHeight="false" outlineLevel="0" collapsed="false">
      <c r="A3" s="18" t="s">
        <v>47</v>
      </c>
      <c r="B3" s="20" t="s">
        <v>48</v>
      </c>
    </row>
    <row r="4" customFormat="false" ht="15" hidden="false" customHeight="false" outlineLevel="0" collapsed="false">
      <c r="A4" s="18" t="s">
        <v>49</v>
      </c>
      <c r="B4" s="19" t="s">
        <v>50</v>
      </c>
    </row>
    <row r="5" customFormat="false" ht="15" hidden="false" customHeight="false" outlineLevel="0" collapsed="false">
      <c r="A5" s="18" t="s">
        <v>51</v>
      </c>
      <c r="B5" s="19" t="s">
        <v>52</v>
      </c>
    </row>
    <row r="6" customFormat="false" ht="15" hidden="false" customHeight="false" outlineLevel="0" collapsed="false">
      <c r="A6" s="21" t="s">
        <v>20</v>
      </c>
      <c r="B6" s="20" t="s">
        <v>53</v>
      </c>
    </row>
    <row r="7" customFormat="false" ht="26.85" hidden="false" customHeight="false" outlineLevel="0" collapsed="false">
      <c r="A7" s="21" t="s">
        <v>54</v>
      </c>
      <c r="B7" s="20" t="s">
        <v>55</v>
      </c>
    </row>
    <row r="8" customFormat="false" ht="15" hidden="false" customHeight="false" outlineLevel="0" collapsed="false">
      <c r="A8" s="18" t="s">
        <v>56</v>
      </c>
      <c r="B8" s="19" t="s">
        <v>57</v>
      </c>
    </row>
    <row r="9" customFormat="false" ht="15" hidden="false" customHeight="false" outlineLevel="0" collapsed="false">
      <c r="A9" s="21"/>
      <c r="B9" s="19"/>
    </row>
    <row r="10" customFormat="false" ht="15" hidden="false" customHeight="false" outlineLevel="0" collapsed="false">
      <c r="A10" s="18" t="s">
        <v>58</v>
      </c>
      <c r="B10" s="19"/>
    </row>
    <row r="11" customFormat="false" ht="15" hidden="false" customHeight="false" outlineLevel="0" collapsed="false">
      <c r="A11" s="21" t="s">
        <v>59</v>
      </c>
      <c r="B11" s="19" t="s">
        <v>60</v>
      </c>
    </row>
    <row r="12" customFormat="false" ht="15" hidden="false" customHeight="false" outlineLevel="0" collapsed="false">
      <c r="A12" s="18" t="s">
        <v>61</v>
      </c>
      <c r="B12" s="19" t="s">
        <v>62</v>
      </c>
    </row>
    <row r="13" customFormat="false" ht="15" hidden="false" customHeight="false" outlineLevel="0" collapsed="false">
      <c r="A13" s="18" t="s">
        <v>63</v>
      </c>
      <c r="B13" s="19" t="s">
        <v>64</v>
      </c>
    </row>
    <row r="14" customFormat="false" ht="15" hidden="false" customHeight="false" outlineLevel="0" collapsed="false">
      <c r="A14" s="18" t="s">
        <v>65</v>
      </c>
      <c r="B14" s="19" t="s">
        <v>66</v>
      </c>
    </row>
    <row r="15" customFormat="false" ht="29.85" hidden="false" customHeight="false" outlineLevel="0" collapsed="false">
      <c r="A15" s="21" t="s">
        <v>67</v>
      </c>
      <c r="B15" s="1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2026-10-14T04:41:21Z</dcterms:created>
  <dc:creator>openpyxl</dc:creator>
  <dc:description/>
  <dc:language>en-US</dc:language>
  <cp:lastModifiedBy/>
  <dcterms:modified xsi:type="dcterms:W3CDTF">2026-10-14T04:41:25Z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